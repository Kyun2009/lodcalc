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jdrb\Desktop\"/>
    </mc:Choice>
  </mc:AlternateContent>
  <bookViews>
    <workbookView xWindow="0" yWindow="0" windowWidth="25600" windowHeight="12420"/>
  </bookViews>
  <sheets>
    <sheet name="Sheet1" sheetId="1" r:id="rId1"/>
    <sheet name="Sheet2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N6" i="1" s="1"/>
  <c r="M8" i="1"/>
  <c r="N8" i="1" s="1"/>
  <c r="M7" i="1"/>
  <c r="N7" i="1" s="1"/>
  <c r="C18" i="1"/>
  <c r="I11" i="2"/>
  <c r="I10" i="2"/>
  <c r="I9" i="2"/>
  <c r="I8" i="2"/>
  <c r="I7" i="2"/>
  <c r="I6" i="2"/>
  <c r="C10" i="1" a="1"/>
  <c r="C10" i="1" s="1"/>
  <c r="J6" i="1" s="1"/>
  <c r="L6" i="1" s="1"/>
  <c r="E2" i="2"/>
  <c r="E4" i="2"/>
  <c r="E5" i="2"/>
  <c r="E6" i="2"/>
  <c r="E7" i="2"/>
  <c r="E8" i="2"/>
  <c r="E9" i="2"/>
  <c r="E10" i="2"/>
  <c r="E11" i="2"/>
  <c r="E12" i="2"/>
  <c r="E3" i="2"/>
  <c r="C9" i="1"/>
  <c r="C8" i="1"/>
  <c r="J7" i="1" l="1"/>
  <c r="L7" i="1" s="1"/>
  <c r="J8" i="1"/>
  <c r="L8" i="1" s="1"/>
  <c r="I8" i="1"/>
  <c r="K8" i="1" s="1"/>
  <c r="I6" i="1"/>
  <c r="K6" i="1" s="1"/>
  <c r="I7" i="1"/>
  <c r="K7" i="1" s="1"/>
</calcChain>
</file>

<file path=xl/comments1.xml><?xml version="1.0" encoding="utf-8"?>
<comments xmlns="http://schemas.openxmlformats.org/spreadsheetml/2006/main">
  <authors>
    <author>User</author>
  </authors>
  <commentList>
    <comment ref="C6" authorId="0" shapeId="0">
      <text>
        <r>
          <rPr>
            <b/>
            <sz val="9"/>
            <color indexed="81"/>
            <rFont val="돋움"/>
            <family val="3"/>
            <charset val="129"/>
          </rPr>
          <t>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C7" authorId="0" shapeId="0">
      <text>
        <r>
          <rPr>
            <b/>
            <sz val="9"/>
            <color indexed="81"/>
            <rFont val="돋움"/>
            <family val="3"/>
            <charset val="129"/>
          </rPr>
          <t>메디테이션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레벨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C14" authorId="0" shapeId="0">
      <text>
        <r>
          <rPr>
            <b/>
            <sz val="9"/>
            <color indexed="81"/>
            <rFont val="돋움"/>
            <family val="3"/>
            <charset val="129"/>
          </rPr>
          <t>몬스터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속성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<sst xmlns="http://schemas.openxmlformats.org/spreadsheetml/2006/main" count="65" uniqueCount="59">
  <si>
    <t>1틱 회복량</t>
    <phoneticPr fontId="2" type="noConversion"/>
  </si>
  <si>
    <t>2틱 회복량</t>
    <phoneticPr fontId="2" type="noConversion"/>
  </si>
  <si>
    <t>메디테이션 단계</t>
    <phoneticPr fontId="2" type="noConversion"/>
  </si>
  <si>
    <t>메디 회복량</t>
    <phoneticPr fontId="2" type="noConversion"/>
  </si>
  <si>
    <t>캐릭터 설정</t>
    <phoneticPr fontId="2" type="noConversion"/>
  </si>
  <si>
    <t>몬스터 설정</t>
    <phoneticPr fontId="2" type="noConversion"/>
  </si>
  <si>
    <t>메테오</t>
    <phoneticPr fontId="2" type="noConversion"/>
  </si>
  <si>
    <t>계수</t>
    <phoneticPr fontId="2" type="noConversion"/>
  </si>
  <si>
    <t>홀리드래곤</t>
    <phoneticPr fontId="2" type="noConversion"/>
  </si>
  <si>
    <t>라그나로크</t>
    <phoneticPr fontId="2" type="noConversion"/>
  </si>
  <si>
    <t>스킬 명</t>
    <phoneticPr fontId="2" type="noConversion"/>
  </si>
  <si>
    <t>소모 MP</t>
    <phoneticPr fontId="2" type="noConversion"/>
  </si>
  <si>
    <t>스킬 정보</t>
    <phoneticPr fontId="2" type="noConversion"/>
  </si>
  <si>
    <t>공격 속성</t>
    <phoneticPr fontId="2" type="noConversion"/>
  </si>
  <si>
    <t>성</t>
    <phoneticPr fontId="2" type="noConversion"/>
  </si>
  <si>
    <t>암</t>
  </si>
  <si>
    <t>암</t>
    <phoneticPr fontId="2" type="noConversion"/>
  </si>
  <si>
    <t>일반(화수토풍)</t>
    <phoneticPr fontId="2" type="noConversion"/>
  </si>
  <si>
    <t>몬스터 방어 속성</t>
    <phoneticPr fontId="2" type="noConversion"/>
  </si>
  <si>
    <t>성암</t>
    <phoneticPr fontId="2" type="noConversion"/>
  </si>
  <si>
    <t>암암</t>
    <phoneticPr fontId="2" type="noConversion"/>
  </si>
  <si>
    <t>성일반(화수토풍)</t>
    <phoneticPr fontId="2" type="noConversion"/>
  </si>
  <si>
    <t>암일반(화수토풍)</t>
    <phoneticPr fontId="2" type="noConversion"/>
  </si>
  <si>
    <t>성성</t>
    <phoneticPr fontId="2" type="noConversion"/>
  </si>
  <si>
    <t>암성</t>
    <phoneticPr fontId="2" type="noConversion"/>
  </si>
  <si>
    <t>몬스터 방어력(ac)</t>
    <phoneticPr fontId="2" type="noConversion"/>
  </si>
  <si>
    <t>방어력 합계</t>
    <phoneticPr fontId="2" type="noConversion"/>
  </si>
  <si>
    <t>저주(프라보)</t>
    <phoneticPr fontId="2" type="noConversion"/>
  </si>
  <si>
    <t>대미지 정보</t>
    <phoneticPr fontId="2" type="noConversion"/>
  </si>
  <si>
    <t>항목</t>
    <phoneticPr fontId="2" type="noConversion"/>
  </si>
  <si>
    <t>값</t>
    <phoneticPr fontId="2" type="noConversion"/>
  </si>
  <si>
    <t>다른 방깎</t>
    <phoneticPr fontId="2" type="noConversion"/>
  </si>
  <si>
    <t>란정씨의 간단 계산기</t>
    <phoneticPr fontId="2" type="noConversion"/>
  </si>
  <si>
    <t>캐릭터 최대 마력</t>
    <phoneticPr fontId="2" type="noConversion"/>
  </si>
  <si>
    <t>최대 대미지</t>
    <phoneticPr fontId="2" type="noConversion"/>
  </si>
  <si>
    <t>핫타임</t>
    <phoneticPr fontId="2" type="noConversion"/>
  </si>
  <si>
    <t>1틱(솔샷)</t>
    <phoneticPr fontId="2" type="noConversion"/>
  </si>
  <si>
    <t>2틱(샷비)</t>
    <phoneticPr fontId="2" type="noConversion"/>
  </si>
  <si>
    <t>훈련장 핫타임 버프 적용 받음</t>
    <phoneticPr fontId="2" type="noConversion"/>
  </si>
  <si>
    <t>연습장 세팅방법</t>
    <phoneticPr fontId="2" type="noConversion"/>
  </si>
  <si>
    <t>1. 몬스터 방어속성</t>
    <phoneticPr fontId="2" type="noConversion"/>
  </si>
  <si>
    <t>3. 저주 방깎</t>
    <phoneticPr fontId="2" type="noConversion"/>
  </si>
  <si>
    <t>2. 몬스터 방어력(ac)</t>
    <phoneticPr fontId="2" type="noConversion"/>
  </si>
  <si>
    <t>100으로 변경</t>
    <phoneticPr fontId="2" type="noConversion"/>
  </si>
  <si>
    <t>0으로 변경(노저주)</t>
    <phoneticPr fontId="2" type="noConversion"/>
  </si>
  <si>
    <t>목표</t>
    <phoneticPr fontId="2" type="noConversion"/>
  </si>
  <si>
    <t>스킬 조건</t>
    <phoneticPr fontId="2" type="noConversion"/>
  </si>
  <si>
    <t>순수직자 홀리드래곤</t>
    <phoneticPr fontId="2" type="noConversion"/>
  </si>
  <si>
    <t>법사 메테오</t>
    <phoneticPr fontId="2" type="noConversion"/>
  </si>
  <si>
    <t>법직 라그나로크</t>
    <phoneticPr fontId="2" type="noConversion"/>
  </si>
  <si>
    <t>포기하세요</t>
    <phoneticPr fontId="2" type="noConversion"/>
  </si>
  <si>
    <t>암속 방어</t>
    <phoneticPr fontId="2" type="noConversion"/>
  </si>
  <si>
    <t>일반 방어(화수토풍)</t>
    <phoneticPr fontId="2" type="noConversion"/>
  </si>
  <si>
    <t>타겟 몬스터 방어 속성</t>
    <phoneticPr fontId="2" type="noConversion"/>
  </si>
  <si>
    <t>나르하고 66만 대미지 넘기기</t>
    <phoneticPr fontId="2" type="noConversion"/>
  </si>
  <si>
    <t>나르없이 60만 대미지 넘기기</t>
    <phoneticPr fontId="2" type="noConversion"/>
  </si>
  <si>
    <t>1틱 나르</t>
    <phoneticPr fontId="2" type="noConversion"/>
  </si>
  <si>
    <t>2틱 나르</t>
    <phoneticPr fontId="2" type="noConversion"/>
  </si>
  <si>
    <t xml:space="preserve">   &lt;- 요런 느낌으루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</si>
</sst>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00"/>
    <numFmt numFmtId="177" formatCode="_-* #,##0_-;\-* #,##0_-;_-* &quot;-&quot;??_-;_-@_-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3D6F5"/>
        <bgColor indexed="64"/>
      </patternFill>
    </fill>
    <fill>
      <patternFill patternType="solid">
        <fgColor rgb="FFF3ABE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2" xfId="0" applyBorder="1"/>
    <xf numFmtId="41" fontId="0" fillId="3" borderId="3" xfId="1" applyFont="1" applyFill="1" applyBorder="1" applyAlignment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41" fontId="0" fillId="3" borderId="5" xfId="1" applyFont="1" applyFill="1" applyBorder="1" applyAlignment="1"/>
    <xf numFmtId="176" fontId="0" fillId="6" borderId="10" xfId="0" applyNumberFormat="1" applyFill="1" applyBorder="1"/>
    <xf numFmtId="0" fontId="0" fillId="6" borderId="10" xfId="0" applyFill="1" applyBorder="1" applyAlignment="1">
      <alignment horizontal="center"/>
    </xf>
    <xf numFmtId="176" fontId="0" fillId="6" borderId="11" xfId="0" applyNumberFormat="1" applyFill="1" applyBorder="1"/>
    <xf numFmtId="0" fontId="0" fillId="6" borderId="11" xfId="0" applyFill="1" applyBorder="1" applyAlignment="1">
      <alignment horizontal="center"/>
    </xf>
    <xf numFmtId="176" fontId="0" fillId="6" borderId="12" xfId="0" applyNumberFormat="1" applyFill="1" applyBorder="1"/>
    <xf numFmtId="0" fontId="0" fillId="6" borderId="12" xfId="0" applyFill="1" applyBorder="1" applyAlignment="1">
      <alignment horizontal="center"/>
    </xf>
    <xf numFmtId="41" fontId="0" fillId="6" borderId="5" xfId="1" applyFont="1" applyFill="1" applyBorder="1" applyAlignment="1"/>
    <xf numFmtId="41" fontId="0" fillId="6" borderId="7" xfId="1" applyFont="1" applyFill="1" applyBorder="1" applyAlignment="1"/>
    <xf numFmtId="0" fontId="0" fillId="6" borderId="1" xfId="0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41" fontId="0" fillId="6" borderId="11" xfId="0" applyNumberFormat="1" applyFill="1" applyBorder="1"/>
    <xf numFmtId="0" fontId="0" fillId="6" borderId="12" xfId="0" applyFill="1" applyBorder="1"/>
    <xf numFmtId="41" fontId="0" fillId="6" borderId="12" xfId="0" applyNumberFormat="1" applyFill="1" applyBorder="1"/>
    <xf numFmtId="0" fontId="4" fillId="4" borderId="0" xfId="0" applyFont="1" applyFill="1" applyBorder="1" applyAlignment="1">
      <alignment horizontal="center"/>
    </xf>
    <xf numFmtId="41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6" borderId="17" xfId="0" applyFont="1" applyFill="1" applyBorder="1"/>
    <xf numFmtId="0" fontId="5" fillId="6" borderId="17" xfId="0" applyFont="1" applyFill="1" applyBorder="1"/>
    <xf numFmtId="177" fontId="0" fillId="6" borderId="10" xfId="0" applyNumberFormat="1" applyFill="1" applyBorder="1"/>
    <xf numFmtId="177" fontId="0" fillId="6" borderId="3" xfId="0" applyNumberFormat="1" applyFill="1" applyBorder="1"/>
    <xf numFmtId="177" fontId="0" fillId="6" borderId="11" xfId="0" applyNumberFormat="1" applyFill="1" applyBorder="1"/>
    <xf numFmtId="177" fontId="0" fillId="6" borderId="5" xfId="0" applyNumberFormat="1" applyFill="1" applyBorder="1"/>
    <xf numFmtId="177" fontId="0" fillId="6" borderId="12" xfId="0" applyNumberFormat="1" applyFill="1" applyBorder="1"/>
    <xf numFmtId="177" fontId="0" fillId="6" borderId="7" xfId="0" applyNumberFormat="1" applyFill="1" applyBorder="1"/>
    <xf numFmtId="41" fontId="8" fillId="6" borderId="10" xfId="0" applyNumberFormat="1" applyFont="1" applyFill="1" applyBorder="1"/>
    <xf numFmtId="41" fontId="8" fillId="6" borderId="11" xfId="0" applyNumberFormat="1" applyFont="1" applyFill="1" applyBorder="1"/>
    <xf numFmtId="41" fontId="8" fillId="6" borderId="12" xfId="0" applyNumberFormat="1" applyFont="1" applyFill="1" applyBorder="1"/>
    <xf numFmtId="41" fontId="9" fillId="8" borderId="10" xfId="0" applyNumberFormat="1" applyFont="1" applyFill="1" applyBorder="1"/>
    <xf numFmtId="0" fontId="0" fillId="8" borderId="3" xfId="0" applyFill="1" applyBorder="1" applyAlignment="1">
      <alignment horizontal="center"/>
    </xf>
    <xf numFmtId="41" fontId="9" fillId="9" borderId="11" xfId="0" applyNumberFormat="1" applyFont="1" applyFill="1" applyBorder="1"/>
    <xf numFmtId="0" fontId="0" fillId="9" borderId="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3ABE9"/>
      <color rgb="FFED83DE"/>
      <color rgb="FF73D6F5"/>
      <color rgb="FFF5A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76200</xdr:rowOff>
    </xdr:from>
    <xdr:to>
      <xdr:col>9</xdr:col>
      <xdr:colOff>562597</xdr:colOff>
      <xdr:row>17</xdr:row>
      <xdr:rowOff>28715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E59D5018-3904-4737-B93D-2B3A313F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2825" y="2809875"/>
          <a:ext cx="4458322" cy="10002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76200</xdr:rowOff>
    </xdr:from>
    <xdr:to>
      <xdr:col>8</xdr:col>
      <xdr:colOff>543405</xdr:colOff>
      <xdr:row>19</xdr:row>
      <xdr:rowOff>123890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xmlns="" id="{0D18B3EA-6112-4969-9E42-5BF531EA6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2825" y="3857625"/>
          <a:ext cx="3439005" cy="466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171450</xdr:rowOff>
    </xdr:from>
    <xdr:to>
      <xdr:col>9</xdr:col>
      <xdr:colOff>667387</xdr:colOff>
      <xdr:row>34</xdr:row>
      <xdr:rowOff>133783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xmlns="" id="{CA0749D6-BBFA-417D-B6EC-EF0DDF562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825" y="4371975"/>
          <a:ext cx="4563112" cy="3105583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42</xdr:row>
      <xdr:rowOff>47625</xdr:rowOff>
    </xdr:from>
    <xdr:to>
      <xdr:col>8</xdr:col>
      <xdr:colOff>9525</xdr:colOff>
      <xdr:row>57</xdr:row>
      <xdr:rowOff>37972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xmlns="" id="{06B9DF89-FF27-E41B-FBD3-557FDAA8F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0875" y="9001125"/>
          <a:ext cx="2781300" cy="313359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51"/>
  <sheetViews>
    <sheetView showGridLines="0" tabSelected="1" workbookViewId="0">
      <selection activeCell="P18" sqref="P18"/>
    </sheetView>
  </sheetViews>
  <sheetFormatPr defaultRowHeight="17" x14ac:dyDescent="0.45"/>
  <cols>
    <col min="1" max="1" width="2.58203125" customWidth="1"/>
    <col min="2" max="2" width="20.58203125" bestFit="1" customWidth="1"/>
    <col min="3" max="3" width="14.33203125" bestFit="1" customWidth="1"/>
    <col min="4" max="4" width="2.58203125" customWidth="1"/>
    <col min="5" max="5" width="11" bestFit="1" customWidth="1"/>
    <col min="9" max="9" width="13.08203125" customWidth="1"/>
    <col min="10" max="10" width="13.58203125" customWidth="1"/>
    <col min="11" max="12" width="12.33203125" bestFit="1" customWidth="1"/>
    <col min="13" max="14" width="13.5" bestFit="1" customWidth="1"/>
    <col min="15" max="15" width="2.58203125" customWidth="1"/>
    <col min="16" max="16" width="20.5" customWidth="1"/>
    <col min="17" max="17" width="21.58203125" bestFit="1" customWidth="1"/>
    <col min="18" max="18" width="27.75" bestFit="1" customWidth="1"/>
  </cols>
  <sheetData>
    <row r="2" spans="2:18" ht="26" thickBot="1" x14ac:dyDescent="0.75">
      <c r="B2" s="38" t="s">
        <v>32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2:18" x14ac:dyDescent="0.45">
      <c r="I3" s="4"/>
      <c r="J3" s="4"/>
      <c r="K3" s="4"/>
      <c r="L3" s="4"/>
    </row>
    <row r="4" spans="2:18" x14ac:dyDescent="0.45">
      <c r="B4" s="54" t="s">
        <v>4</v>
      </c>
      <c r="C4" s="55"/>
      <c r="E4" s="56" t="s">
        <v>12</v>
      </c>
      <c r="F4" s="57"/>
      <c r="G4" s="57"/>
      <c r="H4" s="57"/>
      <c r="I4" s="58" t="s">
        <v>28</v>
      </c>
      <c r="J4" s="59"/>
      <c r="K4" s="59"/>
      <c r="L4" s="59"/>
      <c r="M4" s="59"/>
      <c r="N4" s="60"/>
    </row>
    <row r="5" spans="2:18" x14ac:dyDescent="0.45">
      <c r="B5" s="5" t="s">
        <v>29</v>
      </c>
      <c r="C5" s="5" t="s">
        <v>30</v>
      </c>
      <c r="E5" s="5" t="s">
        <v>10</v>
      </c>
      <c r="F5" s="5" t="s">
        <v>7</v>
      </c>
      <c r="G5" s="5" t="s">
        <v>13</v>
      </c>
      <c r="H5" s="5" t="s">
        <v>11</v>
      </c>
      <c r="I5" s="17" t="s">
        <v>36</v>
      </c>
      <c r="J5" s="18" t="s">
        <v>37</v>
      </c>
      <c r="K5" s="17" t="s">
        <v>56</v>
      </c>
      <c r="L5" s="18" t="s">
        <v>57</v>
      </c>
      <c r="M5" s="18" t="s">
        <v>34</v>
      </c>
      <c r="N5" s="18" t="s">
        <v>35</v>
      </c>
      <c r="P5" s="34" t="s">
        <v>46</v>
      </c>
      <c r="Q5" s="34" t="s">
        <v>53</v>
      </c>
      <c r="R5" s="34" t="s">
        <v>45</v>
      </c>
    </row>
    <row r="6" spans="2:18" x14ac:dyDescent="0.45">
      <c r="B6" s="6" t="s">
        <v>33</v>
      </c>
      <c r="C6" s="7">
        <v>800000</v>
      </c>
      <c r="E6" s="12" t="s">
        <v>8</v>
      </c>
      <c r="F6" s="20">
        <v>1.8</v>
      </c>
      <c r="G6" s="21" t="s">
        <v>14</v>
      </c>
      <c r="H6" s="29">
        <v>12960</v>
      </c>
      <c r="I6" s="48">
        <f>($C$8+$C$10-$H6)*$F6*INDEX(Sheet2!$I$6:$I$15,MATCH($G6&amp;$C$14,Sheet2!$G$6:$G$15,0),1)*(100+$C$18)/100</f>
        <v>962992.28159999999</v>
      </c>
      <c r="J6" s="48">
        <f>IF(($C$9+$C$10-$H6)*$F6*INDEX(Sheet2!$I$6:$I$15,MATCH($G6&amp;$C$14,Sheet2!$G$6:$G$15,0),1)*(100+$C$18)/100&gt;M6,M6,($C$9+$C$10-$H6)*$F6*INDEX(Sheet2!$I$6:$I$15,MATCH($G6&amp;$C$14,Sheet2!$G$6:$G$15,0),1)*(100+$C$18)/100)</f>
        <v>1614102.6816</v>
      </c>
      <c r="K6" s="45">
        <f>I6*2</f>
        <v>1925984.5632</v>
      </c>
      <c r="L6" s="45">
        <f>J6*2</f>
        <v>3228205.3632</v>
      </c>
      <c r="M6" s="39">
        <f>($C$6-$H6)*$F6*INDEX(Sheet2!$I$6:$I$15,MATCH($G6&amp;$C$14,Sheet2!$G$6:$G$15,0),1)*(100+$C$18)/100</f>
        <v>3202812.0575999999</v>
      </c>
      <c r="N6" s="40">
        <f>M6*1.2</f>
        <v>3843374.4691199996</v>
      </c>
      <c r="P6" s="12" t="s">
        <v>47</v>
      </c>
      <c r="Q6" s="13" t="s">
        <v>52</v>
      </c>
      <c r="R6" s="49" t="s">
        <v>55</v>
      </c>
    </row>
    <row r="7" spans="2:18" x14ac:dyDescent="0.45">
      <c r="B7" s="8" t="s">
        <v>2</v>
      </c>
      <c r="C7" s="19">
        <v>5</v>
      </c>
      <c r="E7" s="14" t="s">
        <v>6</v>
      </c>
      <c r="F7" s="22">
        <v>1.5</v>
      </c>
      <c r="G7" s="23" t="s">
        <v>16</v>
      </c>
      <c r="H7" s="30">
        <v>12960</v>
      </c>
      <c r="I7" s="31">
        <f>($C$8+$C$10-$H7)*$F7*INDEX(Sheet2!$I$6:$I$15,MATCH($G7&amp;$C$14,Sheet2!$G$6:$G$15,0),1)*(100+$C$18)/100</f>
        <v>313474.05</v>
      </c>
      <c r="J7" s="46">
        <f>IF(($C$9+$C$10-$H7)*$F7*INDEX(Sheet2!$I$6:$I$15,MATCH($G7&amp;$C$14,Sheet2!$G$6:$G$15,0),1)*(100+$C$18)/100&gt;M7,M7,($C$9+$C$10-$H7)*$F7*INDEX(Sheet2!$I$6:$I$15,MATCH($G7&amp;$C$14,Sheet2!$G$6:$G$15,0),1)*(100+$C$18)/100)</f>
        <v>525424.05000000005</v>
      </c>
      <c r="K7" s="50">
        <f t="shared" ref="K7:K8" si="0">I7*2</f>
        <v>626948.1</v>
      </c>
      <c r="L7" s="50">
        <f t="shared" ref="L7:L8" si="1">J7*2</f>
        <v>1050848.1000000001</v>
      </c>
      <c r="M7" s="41">
        <f>($C$6-$H7)*$F7*INDEX(Sheet2!$I$6:$I$15,MATCH($G7&amp;$C$14,Sheet2!$G$6:$G$15,0),1)*(100+$C$18)/100</f>
        <v>1042582.05</v>
      </c>
      <c r="N7" s="42">
        <f>M7*1.2</f>
        <v>1251098.46</v>
      </c>
      <c r="P7" s="14" t="s">
        <v>48</v>
      </c>
      <c r="Q7" s="15" t="s">
        <v>51</v>
      </c>
      <c r="R7" s="51" t="s">
        <v>54</v>
      </c>
    </row>
    <row r="8" spans="2:18" x14ac:dyDescent="0.45">
      <c r="B8" s="8" t="s">
        <v>0</v>
      </c>
      <c r="C8" s="26">
        <f>C6*0.2</f>
        <v>160000</v>
      </c>
      <c r="E8" s="16" t="s">
        <v>9</v>
      </c>
      <c r="F8" s="24">
        <v>0.375</v>
      </c>
      <c r="G8" s="25" t="s">
        <v>16</v>
      </c>
      <c r="H8" s="32">
        <v>0</v>
      </c>
      <c r="I8" s="33">
        <f>($C$8+$C$10-$H8)*$F8*INDEX(Sheet2!$I$6:$I$15,MATCH($G8&amp;$C$14,Sheet2!$G$6:$G$15,0),1)*(100+$C$18)/100</f>
        <v>82660.5</v>
      </c>
      <c r="J8" s="47">
        <f>IF(($C$9+$C$10-$H8)*$F8*INDEX(Sheet2!$I$6:$I$15,MATCH($G8&amp;$C$14,Sheet2!$G$6:$G$15,0),1)*(100+$C$18)/100&gt;M8,M8,($C$9+$C$10-$H8)*$F8*INDEX(Sheet2!$I$6:$I$15,MATCH($G8&amp;$C$14,Sheet2!$G$6:$G$15,0),1)*(100+$C$18)/100)</f>
        <v>135648</v>
      </c>
      <c r="K8" s="47">
        <f t="shared" si="0"/>
        <v>165321</v>
      </c>
      <c r="L8" s="47">
        <f t="shared" si="1"/>
        <v>271296</v>
      </c>
      <c r="M8" s="43">
        <f>($C$6-$H8)*$F8*INDEX(Sheet2!$I$6:$I$15,MATCH($G8&amp;$C$14,Sheet2!$G$6:$G$15,0),1)*(100+$C$18)/100</f>
        <v>264937.5</v>
      </c>
      <c r="N8" s="44">
        <f>M8*1.2</f>
        <v>317925</v>
      </c>
      <c r="P8" s="16" t="s">
        <v>49</v>
      </c>
      <c r="Q8" s="52" t="s">
        <v>50</v>
      </c>
      <c r="R8" s="53"/>
    </row>
    <row r="9" spans="2:18" x14ac:dyDescent="0.45">
      <c r="B9" s="8" t="s">
        <v>1</v>
      </c>
      <c r="C9" s="26">
        <f>C6*0.4</f>
        <v>320000</v>
      </c>
    </row>
    <row r="10" spans="2:18" x14ac:dyDescent="0.45">
      <c r="B10" s="9" t="s">
        <v>3</v>
      </c>
      <c r="C10" s="27" cm="1">
        <f t="array" ref="C10">INDEX(Sheet2!$E$2:$E$12,MATCH($C$7,Sheet2!$B$2:$B$12,0),0)*$C$6</f>
        <v>89600</v>
      </c>
    </row>
    <row r="12" spans="2:18" ht="17.5" thickBot="1" x14ac:dyDescent="0.5">
      <c r="B12" s="54" t="s">
        <v>5</v>
      </c>
      <c r="C12" s="55"/>
      <c r="E12" s="37" t="s">
        <v>38</v>
      </c>
      <c r="F12" s="37"/>
      <c r="G12" s="37"/>
      <c r="H12" s="37"/>
      <c r="I12" s="37"/>
      <c r="J12" s="37"/>
      <c r="K12" s="37"/>
      <c r="L12" s="37"/>
      <c r="M12" s="37"/>
      <c r="N12" s="37"/>
    </row>
    <row r="13" spans="2:18" x14ac:dyDescent="0.45">
      <c r="B13" s="5" t="s">
        <v>29</v>
      </c>
      <c r="C13" s="5" t="s">
        <v>30</v>
      </c>
    </row>
    <row r="14" spans="2:18" x14ac:dyDescent="0.45">
      <c r="B14" s="10" t="s">
        <v>18</v>
      </c>
      <c r="C14" s="11" t="s">
        <v>15</v>
      </c>
    </row>
    <row r="15" spans="2:18" x14ac:dyDescent="0.45">
      <c r="B15" s="10" t="s">
        <v>25</v>
      </c>
      <c r="C15" s="11">
        <v>-8</v>
      </c>
    </row>
    <row r="16" spans="2:18" x14ac:dyDescent="0.45">
      <c r="B16" s="10" t="s">
        <v>27</v>
      </c>
      <c r="C16" s="28">
        <v>65</v>
      </c>
    </row>
    <row r="17" spans="2:14" x14ac:dyDescent="0.45">
      <c r="B17" s="10" t="s">
        <v>31</v>
      </c>
      <c r="C17" s="11"/>
    </row>
    <row r="18" spans="2:14" x14ac:dyDescent="0.45">
      <c r="B18" s="3" t="s">
        <v>26</v>
      </c>
      <c r="C18" s="3">
        <f>SUM(C15:C17)</f>
        <v>57</v>
      </c>
    </row>
    <row r="20" spans="2:14" x14ac:dyDescent="0.45">
      <c r="M20" s="3"/>
      <c r="N20" s="3"/>
    </row>
    <row r="21" spans="2:14" x14ac:dyDescent="0.45">
      <c r="M21" s="35"/>
      <c r="N21" s="36"/>
    </row>
    <row r="37" spans="5:14" ht="17.5" thickBot="1" x14ac:dyDescent="0.5">
      <c r="E37" s="37" t="s">
        <v>39</v>
      </c>
      <c r="F37" s="37"/>
      <c r="G37" s="37"/>
      <c r="H37" s="37"/>
      <c r="I37" s="37"/>
      <c r="J37" s="37"/>
      <c r="K37" s="37"/>
      <c r="L37" s="37"/>
      <c r="M37" s="37"/>
      <c r="N37" s="37"/>
    </row>
    <row r="39" spans="5:14" x14ac:dyDescent="0.45">
      <c r="E39" t="s">
        <v>40</v>
      </c>
      <c r="G39" t="s">
        <v>16</v>
      </c>
    </row>
    <row r="40" spans="5:14" x14ac:dyDescent="0.45">
      <c r="E40" t="s">
        <v>42</v>
      </c>
      <c r="G40" t="s">
        <v>43</v>
      </c>
    </row>
    <row r="41" spans="5:14" x14ac:dyDescent="0.45">
      <c r="E41" t="s">
        <v>41</v>
      </c>
      <c r="G41" t="s">
        <v>44</v>
      </c>
    </row>
    <row r="51" spans="9:9" x14ac:dyDescent="0.45">
      <c r="I51" t="s">
        <v>58</v>
      </c>
    </row>
  </sheetData>
  <mergeCells count="5">
    <mergeCell ref="Q8:R8"/>
    <mergeCell ref="B4:C4"/>
    <mergeCell ref="E4:H4"/>
    <mergeCell ref="B12:C12"/>
    <mergeCell ref="I4:N4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Sheet2!$G$2:$G$4</xm:f>
          </x14:formula1>
          <xm:sqref>C14</xm:sqref>
        </x14:dataValidation>
        <x14:dataValidation type="list" allowBlank="1" showInputMessage="1" showErrorMessage="1">
          <x14:formula1>
            <xm:f>Sheet2!B2:B12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workbookViewId="0">
      <selection activeCell="H12" sqref="H12"/>
    </sheetView>
  </sheetViews>
  <sheetFormatPr defaultRowHeight="17" x14ac:dyDescent="0.45"/>
  <sheetData>
    <row r="2" spans="2:9" x14ac:dyDescent="0.45">
      <c r="B2">
        <v>0</v>
      </c>
      <c r="C2">
        <v>0</v>
      </c>
      <c r="D2">
        <v>0</v>
      </c>
      <c r="E2">
        <f>C2*D2</f>
        <v>0</v>
      </c>
      <c r="G2" t="s">
        <v>17</v>
      </c>
    </row>
    <row r="3" spans="2:9" x14ac:dyDescent="0.45">
      <c r="B3">
        <v>1</v>
      </c>
      <c r="C3">
        <v>6</v>
      </c>
      <c r="D3" s="1">
        <v>4.0000000000000001E-3</v>
      </c>
      <c r="E3">
        <f>C3*D3</f>
        <v>2.4E-2</v>
      </c>
      <c r="G3" t="s">
        <v>14</v>
      </c>
    </row>
    <row r="4" spans="2:9" x14ac:dyDescent="0.45">
      <c r="B4">
        <v>2</v>
      </c>
      <c r="C4">
        <v>8</v>
      </c>
      <c r="D4" s="1">
        <v>5.0000000000000001E-3</v>
      </c>
      <c r="E4">
        <f t="shared" ref="E4:E12" si="0">C4*D4</f>
        <v>0.04</v>
      </c>
      <c r="G4" t="s">
        <v>16</v>
      </c>
    </row>
    <row r="5" spans="2:9" x14ac:dyDescent="0.45">
      <c r="B5">
        <v>3</v>
      </c>
      <c r="C5">
        <v>10</v>
      </c>
      <c r="D5" s="1">
        <v>6.0000000000000001E-3</v>
      </c>
      <c r="E5">
        <f t="shared" si="0"/>
        <v>0.06</v>
      </c>
    </row>
    <row r="6" spans="2:9" x14ac:dyDescent="0.45">
      <c r="B6">
        <v>4</v>
      </c>
      <c r="C6">
        <v>12</v>
      </c>
      <c r="D6" s="1">
        <v>7.0000000000000001E-3</v>
      </c>
      <c r="E6">
        <f t="shared" si="0"/>
        <v>8.4000000000000005E-2</v>
      </c>
      <c r="G6" t="s">
        <v>21</v>
      </c>
      <c r="H6">
        <v>1.1000000000000001</v>
      </c>
      <c r="I6">
        <f t="shared" ref="I6:I11" si="1">H6^2</f>
        <v>1.2100000000000002</v>
      </c>
    </row>
    <row r="7" spans="2:9" x14ac:dyDescent="0.45">
      <c r="B7">
        <v>5</v>
      </c>
      <c r="C7">
        <v>14</v>
      </c>
      <c r="D7" s="1">
        <v>8.0000000000000002E-3</v>
      </c>
      <c r="E7">
        <f t="shared" si="0"/>
        <v>0.112</v>
      </c>
      <c r="G7" t="s">
        <v>19</v>
      </c>
      <c r="H7">
        <v>1.2</v>
      </c>
      <c r="I7">
        <f t="shared" si="1"/>
        <v>1.44</v>
      </c>
    </row>
    <row r="8" spans="2:9" x14ac:dyDescent="0.45">
      <c r="B8">
        <v>6</v>
      </c>
      <c r="C8">
        <v>16</v>
      </c>
      <c r="D8" s="1">
        <v>8.9999999999999993E-3</v>
      </c>
      <c r="E8">
        <f t="shared" si="0"/>
        <v>0.14399999999999999</v>
      </c>
      <c r="G8" t="s">
        <v>22</v>
      </c>
      <c r="H8">
        <v>1.1000000000000001</v>
      </c>
      <c r="I8">
        <f t="shared" si="1"/>
        <v>1.2100000000000002</v>
      </c>
    </row>
    <row r="9" spans="2:9" x14ac:dyDescent="0.45">
      <c r="B9">
        <v>7</v>
      </c>
      <c r="C9">
        <v>18</v>
      </c>
      <c r="D9" s="2">
        <v>0.01</v>
      </c>
      <c r="E9">
        <f t="shared" si="0"/>
        <v>0.18</v>
      </c>
      <c r="G9" t="s">
        <v>20</v>
      </c>
      <c r="H9">
        <v>0.75</v>
      </c>
      <c r="I9">
        <f t="shared" si="1"/>
        <v>0.5625</v>
      </c>
    </row>
    <row r="10" spans="2:9" x14ac:dyDescent="0.45">
      <c r="B10">
        <v>8</v>
      </c>
      <c r="C10">
        <v>20</v>
      </c>
      <c r="D10" s="1">
        <v>1.4E-2</v>
      </c>
      <c r="E10">
        <f t="shared" si="0"/>
        <v>0.28000000000000003</v>
      </c>
      <c r="G10" t="s">
        <v>23</v>
      </c>
      <c r="H10">
        <v>0.75</v>
      </c>
      <c r="I10">
        <f t="shared" si="1"/>
        <v>0.5625</v>
      </c>
    </row>
    <row r="11" spans="2:9" x14ac:dyDescent="0.45">
      <c r="B11">
        <v>9</v>
      </c>
      <c r="C11">
        <v>22</v>
      </c>
      <c r="D11" s="1">
        <v>2.1000000000000001E-2</v>
      </c>
      <c r="E11">
        <f t="shared" si="0"/>
        <v>0.46200000000000002</v>
      </c>
      <c r="G11" t="s">
        <v>24</v>
      </c>
      <c r="H11">
        <v>1.2</v>
      </c>
      <c r="I11">
        <f t="shared" si="1"/>
        <v>1.44</v>
      </c>
    </row>
    <row r="12" spans="2:9" x14ac:dyDescent="0.45">
      <c r="B12">
        <v>10</v>
      </c>
      <c r="C12">
        <v>24</v>
      </c>
      <c r="D12" s="2">
        <v>0.03</v>
      </c>
      <c r="E12">
        <f t="shared" si="0"/>
        <v>0.72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seongKyun Kim</cp:lastModifiedBy>
  <dcterms:created xsi:type="dcterms:W3CDTF">2015-06-05T18:19:34Z</dcterms:created>
  <dcterms:modified xsi:type="dcterms:W3CDTF">2026-02-02T14:24:24Z</dcterms:modified>
</cp:coreProperties>
</file>